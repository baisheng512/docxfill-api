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<sst xmlns="http://schemas.openxmlformats.org/spreadsheetml/2006/main" count="33" uniqueCount="31">
  <si>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选择序号作为评估说明案例</t>
  </si>
  <si>
    <t>车辆牌号</t>
  </si>
  <si>
    <t>证载权利人</t>
  </si>
  <si>
    <t>车辆名称</t>
  </si>
  <si>
    <t>规格型号</t>
  </si>
  <si>
    <t>排气量（升）</t>
  </si>
  <si>
    <t>使用单位</t>
  </si>
  <si>
    <t>生产厂家</t>
  </si>
  <si>
    <t>计量单位</t>
  </si>
  <si>
    <t>数量</t>
  </si>
  <si>
    <t>购置日期</t>
  </si>
  <si>
    <t>使用日期</t>
  </si>
  <si>
    <t>已行驶里程（公里）</t>
  </si>
  <si>
    <t>购置价</t>
  </si>
  <si>
    <t>账面价值</t>
  </si>
  <si>
    <t>评估值</t>
  </si>
  <si>
    <t>增减值</t>
  </si>
  <si>
    <t>增减率（%）</t>
  </si>
  <si>
    <t>基本情况</t>
  </si>
  <si>
    <t>备注</t>
  </si>
  <si>
    <t>原值</t>
  </si>
  <si>
    <t>净值</t>
  </si>
  <si>
    <t>成新率（%）</t>
  </si>
  <si>
    <t>甘A56481</t>
  </si>
  <si>
    <t>现牌公司</t>
  </si>
  <si>
    <t>楚胜牌洗扫车</t>
  </si>
  <si>
    <t>5L</t>
  </si>
  <si>
    <t>运营部</t>
  </si>
  <si>
    <t>楚胜</t>
  </si>
  <si>
    <t>辆</t>
  </si>
  <si>
    <t>车身为白色，光泽良好，车窗后视镜正常，仪表盘齐全，大修情况为无，改装情况为无，车辆电气系统良好，车身剐蹭轻微，车辆维护保养良好。内饰整洁度一般。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</si>
</sst>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tabSelected="1" topLeftCell="I1" workbookViewId="0">
      <selection activeCell="N3" sqref="N3"/>
    </sheetView>
  </sheetViews>
  <sheetFormatPr defaultColWidth="9.02654867256637" defaultRowHeight="13.5" outlineLevelRow="2"/>
  <cols>
    <col min="1" max="1" width="28.2212389380531" style="1" customWidth="1"/>
    <col min="3" max="3" width="12.353982300885" customWidth="1"/>
    <col min="4" max="4" width="17.1946902654867" customWidth="1"/>
    <col min="6" max="6" width="11.9557522123894" customWidth="1"/>
    <col min="11" max="11" width="10.5929203539823"/>
    <col min="12" max="12" width="12.6902654867257" customWidth="1"/>
    <col min="13" max="13" width="16.070796460177" customWidth="1"/>
    <col min="18" max="18" width="11.3628318584071" customWidth="1"/>
    <col min="21" max="21" width="12.7522123893805" customWidth="1"/>
  </cols>
  <sheetData>
    <row r="1" spans="1:2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  <c r="Q1" s="3" t="s">
        <v>15</v>
      </c>
      <c r="R1" s="3"/>
      <c r="S1" s="3"/>
      <c r="T1" s="3" t="s">
        <v>16</v>
      </c>
      <c r="U1" s="3" t="s">
        <v>17</v>
      </c>
      <c r="V1" s="3" t="s">
        <v>18</v>
      </c>
      <c r="W1" s="3" t="s">
        <v>19</v>
      </c>
    </row>
    <row r="2" spans="1:23">
      <c r="A2" s="4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5" t="s">
        <v>20</v>
      </c>
      <c r="P2" s="5" t="s">
        <v>21</v>
      </c>
      <c r="Q2" s="5" t="s">
        <v>20</v>
      </c>
      <c r="R2" s="5" t="s">
        <v>22</v>
      </c>
      <c r="S2" s="5" t="s">
        <v>21</v>
      </c>
      <c r="T2" s="3"/>
      <c r="U2" s="3"/>
      <c r="V2" s="3"/>
      <c r="W2" s="3"/>
    </row>
    <row r="3" spans="1:23">
      <c r="A3" s="2">
        <v>1</v>
      </c>
      <c r="B3" s="6" t="s">
        <v>23</v>
      </c>
      <c r="C3" s="6" t="s">
        <v>24</v>
      </c>
      <c r="D3" s="6" t="s">
        <v>25</v>
      </c>
      <c r="E3" s="6">
        <v>8888</v>
      </c>
      <c r="F3" s="6" t="s">
        <v>26</v>
      </c>
      <c r="G3" s="6" t="s">
        <v>27</v>
      </c>
      <c r="H3" s="6" t="s">
        <v>28</v>
      </c>
      <c r="I3" s="6" t="s">
        <v>29</v>
      </c>
      <c r="J3" s="6">
        <v>1</v>
      </c>
      <c r="K3" s="7">
        <v>43585</v>
      </c>
      <c r="L3" s="7">
        <v>43585</v>
      </c>
      <c r="M3" s="6">
        <v>80000</v>
      </c>
      <c r="N3" s="6">
        <v>300000</v>
      </c>
      <c r="O3" s="6">
        <v>300000</v>
      </c>
      <c r="P3" s="6">
        <v>200000</v>
      </c>
      <c r="Q3" s="6">
        <v>191400</v>
      </c>
      <c r="R3" s="6">
        <v>57</v>
      </c>
      <c r="S3" s="6">
        <f>ROUND(Q3*R3/100,0)</f>
        <v>109098</v>
      </c>
      <c r="T3" s="6">
        <f>S3-P3</f>
        <v>-90902</v>
      </c>
      <c r="U3" s="8">
        <f>T3/P3</f>
        <v>-0.45451</v>
      </c>
      <c r="V3" s="6" t="s">
        <v>30</v>
      </c>
      <c r="W3" s="6"/>
    </row>
  </sheetData>
  <mergeCells count="20">
    <mergeCell ref="O1:P1"/>
    <mergeCell ref="Q1: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T1:T2"/>
    <mergeCell ref="U1:U2"/>
    <mergeCell ref="V1:V2"/>
    <mergeCell ref="W1:W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LJY</dc:creator>
  <cp:lastModifiedBy>百盛</cp:lastModifiedBy>
  <dcterms:created xsi:type="dcterms:W3CDTF">2026-04-26T10:49:00Z</dcterms:created>
  <dcterms:modified xsi:type="dcterms:W3CDTF">2026-05-12T05:20:27Z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1E4F6491A8C74D06ACAF2BD830C52677_11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